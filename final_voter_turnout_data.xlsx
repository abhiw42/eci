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hinav/Desktop/dvs assignment/"/>
    </mc:Choice>
  </mc:AlternateContent>
  <xr:revisionPtr revIDLastSave="0" documentId="13_ncr:1_{0947D5A1-C71C-1640-8588-210C4BAF2302}" xr6:coauthVersionLast="47" xr6:coauthVersionMax="47" xr10:uidLastSave="{00000000-0000-0000-0000-000000000000}"/>
  <bookViews>
    <workbookView xWindow="280" yWindow="680" windowWidth="28040" windowHeight="16400" xr2:uid="{B1EAAC8D-85FE-864F-B95C-6C7DB16E500C}"/>
  </bookViews>
  <sheets>
    <sheet name="Dataset" sheetId="1" r:id="rId1"/>
    <sheet name="Variable Types" sheetId="2" r:id="rId2"/>
  </sheets>
  <definedNames>
    <definedName name="_xlnm._FilterDatabase" localSheetId="0" hidden="1">Dataset!$A$1:$N$31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2" i="1"/>
  <c r="E2" i="1"/>
  <c r="D2" i="1" s="1"/>
  <c r="N2" i="1" s="1"/>
  <c r="E13" i="1"/>
  <c r="D13" i="1" s="1"/>
  <c r="N13" i="1" s="1"/>
  <c r="E3" i="1"/>
  <c r="D3" i="1" s="1"/>
  <c r="N3" i="1" s="1"/>
  <c r="E4" i="1"/>
  <c r="D4" i="1" s="1"/>
  <c r="N4" i="1" s="1"/>
  <c r="E5" i="1"/>
  <c r="D5" i="1" s="1"/>
  <c r="N5" i="1" s="1"/>
  <c r="E6" i="1"/>
  <c r="E7" i="1"/>
  <c r="E8" i="1"/>
  <c r="E9" i="1"/>
  <c r="D9" i="1" s="1"/>
  <c r="N9" i="1" s="1"/>
  <c r="E10" i="1"/>
  <c r="D10" i="1" s="1"/>
  <c r="N10" i="1" s="1"/>
  <c r="E11" i="1"/>
  <c r="D11" i="1" s="1"/>
  <c r="N11" i="1" s="1"/>
  <c r="E12" i="1"/>
  <c r="D12" i="1" s="1"/>
  <c r="N12" i="1" s="1"/>
  <c r="E14" i="1"/>
  <c r="E15" i="1"/>
  <c r="E16" i="1"/>
  <c r="E17" i="1"/>
  <c r="E18" i="1"/>
  <c r="E19" i="1"/>
  <c r="D19" i="1" s="1"/>
  <c r="N19" i="1" s="1"/>
  <c r="E20" i="1"/>
  <c r="D20" i="1" s="1"/>
  <c r="N20" i="1" s="1"/>
  <c r="E21" i="1"/>
  <c r="E22" i="1"/>
  <c r="E23" i="1"/>
  <c r="E24" i="1"/>
  <c r="E25" i="1"/>
  <c r="E26" i="1"/>
  <c r="E27" i="1"/>
  <c r="D27" i="1" s="1"/>
  <c r="N27" i="1" s="1"/>
  <c r="E28" i="1"/>
  <c r="D28" i="1" s="1"/>
  <c r="N28" i="1" s="1"/>
  <c r="E29" i="1"/>
  <c r="E30" i="1"/>
  <c r="E31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D26" i="1" l="1"/>
  <c r="N26" i="1" s="1"/>
  <c r="D18" i="1"/>
  <c r="N18" i="1" s="1"/>
  <c r="D8" i="1"/>
  <c r="N8" i="1" s="1"/>
  <c r="D16" i="1"/>
  <c r="N16" i="1" s="1"/>
  <c r="D6" i="1"/>
  <c r="N6" i="1" s="1"/>
  <c r="D17" i="1"/>
  <c r="N17" i="1" s="1"/>
  <c r="D7" i="1"/>
  <c r="N7" i="1" s="1"/>
  <c r="D31" i="1"/>
  <c r="N31" i="1" s="1"/>
  <c r="D15" i="1"/>
  <c r="N15" i="1" s="1"/>
  <c r="D22" i="1"/>
  <c r="N22" i="1" s="1"/>
  <c r="D29" i="1"/>
  <c r="N29" i="1" s="1"/>
  <c r="D25" i="1"/>
  <c r="N25" i="1" s="1"/>
  <c r="D24" i="1"/>
  <c r="N24" i="1" s="1"/>
  <c r="D23" i="1"/>
  <c r="N23" i="1" s="1"/>
  <c r="D30" i="1"/>
  <c r="N30" i="1" s="1"/>
  <c r="D14" i="1"/>
  <c r="N14" i="1" s="1"/>
  <c r="D21" i="1"/>
  <c r="N21" i="1" s="1"/>
  <c r="K2" i="1"/>
  <c r="K25" i="1"/>
  <c r="K16" i="1"/>
  <c r="K3" i="1"/>
  <c r="K11" i="1"/>
  <c r="K19" i="1"/>
  <c r="K27" i="1"/>
  <c r="K8" i="1"/>
  <c r="K9" i="1"/>
  <c r="K4" i="1"/>
  <c r="K12" i="1"/>
  <c r="K20" i="1"/>
  <c r="K28" i="1"/>
  <c r="K5" i="1"/>
  <c r="K13" i="1"/>
  <c r="K21" i="1"/>
  <c r="K29" i="1"/>
  <c r="K10" i="1"/>
  <c r="K26" i="1"/>
  <c r="K6" i="1"/>
  <c r="K14" i="1"/>
  <c r="K22" i="1"/>
  <c r="K18" i="1"/>
  <c r="K15" i="1"/>
  <c r="K23" i="1"/>
  <c r="K31" i="1"/>
  <c r="K7" i="1" l="1"/>
  <c r="K24" i="1"/>
  <c r="K30" i="1"/>
  <c r="K17" i="1"/>
</calcChain>
</file>

<file path=xl/sharedStrings.xml><?xml version="1.0" encoding="utf-8"?>
<sst xmlns="http://schemas.openxmlformats.org/spreadsheetml/2006/main" count="113" uniqueCount="61">
  <si>
    <t>Bangalore South</t>
  </si>
  <si>
    <t>Mumbai North</t>
  </si>
  <si>
    <t>Chennai South</t>
  </si>
  <si>
    <t>Lucknow</t>
  </si>
  <si>
    <t>Uttar Pradesh</t>
  </si>
  <si>
    <t>Patna Sahib</t>
  </si>
  <si>
    <t>Bihar</t>
  </si>
  <si>
    <t>Tamil Nadu</t>
  </si>
  <si>
    <t>Maharashtra</t>
  </si>
  <si>
    <t>Karnataka</t>
  </si>
  <si>
    <t>Bhopal</t>
  </si>
  <si>
    <t>Madhya Pradesh</t>
  </si>
  <si>
    <t>Kerala</t>
  </si>
  <si>
    <t>Thiruvananthapuram</t>
  </si>
  <si>
    <t>Karnal</t>
  </si>
  <si>
    <t>Haryana</t>
  </si>
  <si>
    <t>Jaipur</t>
  </si>
  <si>
    <t>Rajasthan</t>
  </si>
  <si>
    <t>Chandigarh</t>
  </si>
  <si>
    <t>Variable Name</t>
  </si>
  <si>
    <t>Variable Type</t>
  </si>
  <si>
    <t>Description</t>
  </si>
  <si>
    <t>Year</t>
  </si>
  <si>
    <t>Categorical (Ordinal)</t>
  </si>
  <si>
    <t>Constituency</t>
  </si>
  <si>
    <t>Categorical (Nominal)</t>
  </si>
  <si>
    <t>State</t>
  </si>
  <si>
    <t>Total Voters</t>
  </si>
  <si>
    <t>Quantitative (Discrete)</t>
  </si>
  <si>
    <t>Postal Votes</t>
  </si>
  <si>
    <t>Quantitative (Continuous)</t>
  </si>
  <si>
    <t xml:space="preserve">Total Votes </t>
  </si>
  <si>
    <t>Male Votes</t>
  </si>
  <si>
    <t>Female Votes</t>
  </si>
  <si>
    <t>Male Turnout</t>
  </si>
  <si>
    <t>Female Turnout</t>
  </si>
  <si>
    <t>Postal Turnout</t>
  </si>
  <si>
    <t>Total voters</t>
  </si>
  <si>
    <t>Male voters</t>
  </si>
  <si>
    <t>Female voters</t>
  </si>
  <si>
    <t>Total votes</t>
  </si>
  <si>
    <t>Male votes</t>
  </si>
  <si>
    <t>Female votes</t>
  </si>
  <si>
    <t>Postal votes</t>
  </si>
  <si>
    <t>Male turnout</t>
  </si>
  <si>
    <t>Female turnout</t>
  </si>
  <si>
    <t>Postal turnout</t>
  </si>
  <si>
    <t>Year of election.</t>
  </si>
  <si>
    <t>Name of constituency.</t>
  </si>
  <si>
    <t>Name of state/UT.</t>
  </si>
  <si>
    <t>Count of registered voters.</t>
  </si>
  <si>
    <t>Count of votes polled.</t>
  </si>
  <si>
    <t>Votes cast by male voters.</t>
  </si>
  <si>
    <t>Votes cast by female voters.</t>
  </si>
  <si>
    <t>Votes cast by postal ballots.</t>
  </si>
  <si>
    <t>Percentage turnout.</t>
  </si>
  <si>
    <t>Percentage of male turnout</t>
  </si>
  <si>
    <t>Percentage of female turnout.</t>
  </si>
  <si>
    <t>Percentage turnout via postal.</t>
  </si>
  <si>
    <t>Overall Voter Turnout (%)</t>
  </si>
  <si>
    <t>Overall voter turnout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</si>
</sst>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2"/>
      <color rgb="FFFFFFFF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0" fontId="0" fillId="0" borderId="0" xfId="0" applyNumberFormat="1"/>
    <xf numFmtId="2" fontId="0" fillId="0" borderId="0" xfId="0" applyNumberFormat="1"/>
    <xf numFmtId="0" fontId="1" fillId="0" borderId="0" xfId="0" applyFont="1" applyAlignment="1">
      <alignment vertical="top" wrapText="1"/>
    </xf>
    <xf numFmtId="2" fontId="1" fillId="0" borderId="0" xfId="0" applyNumberFormat="1" applyFont="1" applyAlignment="1">
      <alignment vertical="top" wrapText="1"/>
    </xf>
    <xf numFmtId="49" fontId="1" fillId="0" borderId="0" xfId="0" applyNumberFormat="1" applyFont="1" applyAlignment="1">
      <alignment vertical="top" wrapText="1"/>
    </xf>
    <xf numFmtId="49" fontId="0" fillId="0" borderId="0" xfId="0" applyNumberFormat="1"/>
    <xf numFmtId="1" fontId="1" fillId="0" borderId="0" xfId="0" applyNumberFormat="1" applyFont="1" applyAlignment="1">
      <alignment vertical="top" wrapText="1"/>
    </xf>
    <xf numFmtId="1" fontId="0" fillId="0" borderId="0" xfId="0" applyNumberFormat="1"/>
    <xf numFmtId="1" fontId="1" fillId="0" borderId="0" xfId="0" applyNumberFormat="1" applyFont="1" applyAlignment="1">
      <alignment horizontal="center" vertical="top" wrapText="1"/>
    </xf>
    <xf numFmtId="0" fontId="2" fillId="0" borderId="0" xfId="0" applyFont="1"/>
    <xf numFmtId="0" fontId="3" fillId="0" borderId="0" xfId="0" applyFont="1"/>
    <xf numFmtId="0" fontId="0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618208-BC07-3D4A-BBF2-AE71189C2625}" name="Table1" displayName="Table1" ref="A1:C13" totalsRowShown="0" headerRowDxfId="1" dataDxfId="0">
  <tableColumns count="3">
    <tableColumn id="1" xr3:uid="{0A3D0BB6-46C8-F840-9377-D29DB835376C}" name="Variable Name" dataDxfId="4"/>
    <tableColumn id="2" xr3:uid="{0F7A9385-25F2-8543-8783-B1FE90DF18E1}" name="Variable Type" dataDxfId="3"/>
    <tableColumn id="3" xr3:uid="{B2BFB78E-9B2A-B449-AEA2-87CA46A7A809}" name="Description" dataDxfId="2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5F14A-00C3-CF47-8702-D7A53B55A60E}">
  <dimension ref="A1:N31"/>
  <sheetViews>
    <sheetView tabSelected="1" zoomScaleNormal="100" workbookViewId="0">
      <selection activeCell="L33" sqref="L33"/>
    </sheetView>
  </sheetViews>
  <sheetFormatPr baseColWidth="10" defaultRowHeight="16" x14ac:dyDescent="0.2"/>
  <cols>
    <col min="1" max="1" width="7.33203125" style="8" bestFit="1" customWidth="1"/>
    <col min="2" max="2" width="18" style="6" bestFit="1" customWidth="1"/>
    <col min="3" max="3" width="14.33203125" style="6" bestFit="1" customWidth="1"/>
    <col min="4" max="5" width="13.1640625" style="8" bestFit="1" customWidth="1"/>
    <col min="6" max="6" width="15.33203125" style="8" bestFit="1" customWidth="1"/>
    <col min="7" max="8" width="12.5" style="8" bestFit="1" customWidth="1"/>
    <col min="9" max="9" width="14.6640625" style="8" bestFit="1" customWidth="1"/>
    <col min="10" max="10" width="16.33203125" style="8" bestFit="1" customWidth="1"/>
    <col min="11" max="11" width="23.6640625" style="2" bestFit="1" customWidth="1"/>
    <col min="12" max="12" width="14" style="2" bestFit="1" customWidth="1"/>
    <col min="13" max="13" width="16.1640625" style="2" bestFit="1" customWidth="1"/>
    <col min="14" max="14" width="15.33203125" bestFit="1" customWidth="1"/>
  </cols>
  <sheetData>
    <row r="1" spans="1:14" ht="17" x14ac:dyDescent="0.2">
      <c r="A1" s="7" t="s">
        <v>22</v>
      </c>
      <c r="B1" s="5" t="s">
        <v>24</v>
      </c>
      <c r="C1" s="5" t="s">
        <v>26</v>
      </c>
      <c r="D1" s="7" t="s">
        <v>37</v>
      </c>
      <c r="E1" s="7" t="s">
        <v>38</v>
      </c>
      <c r="F1" s="7" t="s">
        <v>39</v>
      </c>
      <c r="G1" s="7" t="s">
        <v>40</v>
      </c>
      <c r="H1" s="7" t="s">
        <v>41</v>
      </c>
      <c r="I1" s="7" t="s">
        <v>42</v>
      </c>
      <c r="J1" s="9" t="s">
        <v>43</v>
      </c>
      <c r="K1" s="4" t="s">
        <v>60</v>
      </c>
      <c r="L1" s="4" t="s">
        <v>44</v>
      </c>
      <c r="M1" s="4" t="s">
        <v>45</v>
      </c>
      <c r="N1" s="3" t="s">
        <v>46</v>
      </c>
    </row>
    <row r="2" spans="1:14" x14ac:dyDescent="0.2">
      <c r="A2" s="8">
        <v>2014</v>
      </c>
      <c r="B2" s="6" t="s">
        <v>5</v>
      </c>
      <c r="C2" s="6" t="s">
        <v>6</v>
      </c>
      <c r="D2" s="8">
        <f>E2+F2</f>
        <v>1944948</v>
      </c>
      <c r="E2" s="8">
        <f>ROUND( H2 / (L2/100), 0 )</f>
        <v>1051493</v>
      </c>
      <c r="F2" s="8">
        <f>ROUND( I2 / (M2/100), 0 )</f>
        <v>893455</v>
      </c>
      <c r="G2" s="8">
        <f t="shared" ref="G2:G31" si="0">H2+I2+J2</f>
        <v>882768</v>
      </c>
      <c r="H2" s="8">
        <v>510480</v>
      </c>
      <c r="I2" s="8">
        <v>369747</v>
      </c>
      <c r="J2" s="8">
        <v>2541</v>
      </c>
      <c r="K2" s="2">
        <f>G2/D2*100</f>
        <v>45.387743014209121</v>
      </c>
      <c r="L2" s="2">
        <v>48.548112065415602</v>
      </c>
      <c r="M2" s="2">
        <v>41.383953304867099</v>
      </c>
      <c r="N2" s="1">
        <f t="shared" ref="N2:N31" si="1">J2/D2</f>
        <v>1.3064616637565632E-3</v>
      </c>
    </row>
    <row r="3" spans="1:14" x14ac:dyDescent="0.2">
      <c r="A3" s="8">
        <v>2019</v>
      </c>
      <c r="B3" s="6" t="s">
        <v>5</v>
      </c>
      <c r="C3" s="6" t="s">
        <v>6</v>
      </c>
      <c r="D3" s="8">
        <f t="shared" ref="D3:D31" si="2">E3+F3</f>
        <v>2145897</v>
      </c>
      <c r="E3" s="8">
        <f t="shared" ref="E3:E31" si="3">ROUND( H3 / (L3/100), 0 )</f>
        <v>1133674</v>
      </c>
      <c r="F3" s="8">
        <f t="shared" ref="F3:F31" si="4">ROUND( I3 / (M3/100), 0 )</f>
        <v>1012223</v>
      </c>
      <c r="G3" s="8">
        <f t="shared" si="0"/>
        <v>982938</v>
      </c>
      <c r="H3" s="8">
        <v>548683</v>
      </c>
      <c r="I3" s="8">
        <v>429918</v>
      </c>
      <c r="J3" s="8">
        <v>4337</v>
      </c>
      <c r="K3" s="2">
        <f t="shared" ref="K3:K31" si="5">G3/D3*100</f>
        <v>45.805460373913562</v>
      </c>
      <c r="L3" s="2">
        <v>48.39865781520966</v>
      </c>
      <c r="M3" s="2">
        <v>42.472656716948734</v>
      </c>
      <c r="N3" s="1">
        <f t="shared" si="1"/>
        <v>2.0210662487528527E-3</v>
      </c>
    </row>
    <row r="4" spans="1:14" x14ac:dyDescent="0.2">
      <c r="A4" s="8">
        <v>2024</v>
      </c>
      <c r="B4" s="6" t="s">
        <v>5</v>
      </c>
      <c r="C4" s="6" t="s">
        <v>6</v>
      </c>
      <c r="D4" s="8">
        <f t="shared" si="2"/>
        <v>2295396</v>
      </c>
      <c r="E4" s="8">
        <f t="shared" si="3"/>
        <v>1211129</v>
      </c>
      <c r="F4" s="8">
        <f t="shared" si="4"/>
        <v>1084267</v>
      </c>
      <c r="G4" s="8">
        <f t="shared" si="0"/>
        <v>1075986</v>
      </c>
      <c r="H4" s="8">
        <v>592775</v>
      </c>
      <c r="I4" s="8">
        <v>480981</v>
      </c>
      <c r="J4" s="8">
        <v>2230</v>
      </c>
      <c r="K4" s="2">
        <f t="shared" si="5"/>
        <v>46.875833189567288</v>
      </c>
      <c r="L4" s="2">
        <v>48.944001839999999</v>
      </c>
      <c r="M4" s="2">
        <v>44.36</v>
      </c>
      <c r="N4" s="1">
        <f t="shared" si="1"/>
        <v>9.7150992682744071E-4</v>
      </c>
    </row>
    <row r="5" spans="1:14" x14ac:dyDescent="0.2">
      <c r="A5" s="8">
        <v>2014</v>
      </c>
      <c r="B5" s="6" t="s">
        <v>18</v>
      </c>
      <c r="C5" s="6" t="s">
        <v>18</v>
      </c>
      <c r="D5" s="8">
        <f t="shared" si="2"/>
        <v>613939</v>
      </c>
      <c r="E5" s="8">
        <f t="shared" si="3"/>
        <v>332888</v>
      </c>
      <c r="F5" s="8">
        <f t="shared" si="4"/>
        <v>281051</v>
      </c>
      <c r="G5" s="8">
        <f t="shared" si="0"/>
        <v>453460</v>
      </c>
      <c r="H5" s="8">
        <v>244907</v>
      </c>
      <c r="I5" s="8">
        <v>208415</v>
      </c>
      <c r="J5" s="8">
        <v>138</v>
      </c>
      <c r="K5" s="2">
        <f t="shared" si="5"/>
        <v>73.860758153497329</v>
      </c>
      <c r="L5" s="2">
        <v>73.570390041094896</v>
      </c>
      <c r="M5" s="2">
        <v>74.155580303930606</v>
      </c>
      <c r="N5" s="1">
        <f t="shared" si="1"/>
        <v>2.2477803169370248E-4</v>
      </c>
    </row>
    <row r="6" spans="1:14" x14ac:dyDescent="0.2">
      <c r="A6" s="8">
        <v>2019</v>
      </c>
      <c r="B6" s="6" t="s">
        <v>18</v>
      </c>
      <c r="C6" s="6" t="s">
        <v>18</v>
      </c>
      <c r="D6" s="8">
        <f t="shared" si="2"/>
        <v>646708</v>
      </c>
      <c r="E6" s="8">
        <f t="shared" si="3"/>
        <v>342201</v>
      </c>
      <c r="F6" s="8">
        <f t="shared" si="4"/>
        <v>304507</v>
      </c>
      <c r="G6" s="8">
        <f t="shared" si="0"/>
        <v>456622</v>
      </c>
      <c r="H6" s="8">
        <v>240635</v>
      </c>
      <c r="I6" s="8">
        <v>215557</v>
      </c>
      <c r="J6" s="8">
        <v>430</v>
      </c>
      <c r="K6" s="2">
        <f t="shared" si="5"/>
        <v>70.607136451072193</v>
      </c>
      <c r="L6" s="2">
        <v>70.319782817700698</v>
      </c>
      <c r="M6" s="2">
        <v>70.788848860617321</v>
      </c>
      <c r="N6" s="1">
        <f t="shared" si="1"/>
        <v>6.6490595446476615E-4</v>
      </c>
    </row>
    <row r="7" spans="1:14" x14ac:dyDescent="0.2">
      <c r="A7" s="8">
        <v>2024</v>
      </c>
      <c r="B7" s="6" t="s">
        <v>18</v>
      </c>
      <c r="C7" s="6" t="s">
        <v>18</v>
      </c>
      <c r="D7" s="8">
        <f t="shared" si="2"/>
        <v>660524</v>
      </c>
      <c r="E7" s="8">
        <f t="shared" si="3"/>
        <v>342174</v>
      </c>
      <c r="F7" s="8">
        <f t="shared" si="4"/>
        <v>318350</v>
      </c>
      <c r="G7" s="8">
        <f t="shared" si="0"/>
        <v>449356</v>
      </c>
      <c r="H7" s="8">
        <v>234526</v>
      </c>
      <c r="I7" s="8">
        <v>213995</v>
      </c>
      <c r="J7" s="8">
        <v>835</v>
      </c>
      <c r="K7" s="2">
        <f t="shared" si="5"/>
        <v>68.030230544234584</v>
      </c>
      <c r="L7" s="2">
        <v>68.540000000000006</v>
      </c>
      <c r="M7" s="2">
        <v>67.22</v>
      </c>
      <c r="N7" s="1">
        <f t="shared" si="1"/>
        <v>1.2641478583669936E-3</v>
      </c>
    </row>
    <row r="8" spans="1:14" x14ac:dyDescent="0.2">
      <c r="A8" s="8">
        <v>2014</v>
      </c>
      <c r="B8" s="6" t="s">
        <v>14</v>
      </c>
      <c r="C8" s="6" t="s">
        <v>15</v>
      </c>
      <c r="D8" s="8">
        <f t="shared" si="2"/>
        <v>1679370</v>
      </c>
      <c r="E8" s="8">
        <f t="shared" si="3"/>
        <v>909648</v>
      </c>
      <c r="F8" s="8">
        <f t="shared" si="4"/>
        <v>769722</v>
      </c>
      <c r="G8" s="8">
        <f t="shared" si="0"/>
        <v>1193697</v>
      </c>
      <c r="H8" s="8">
        <v>666729</v>
      </c>
      <c r="I8" s="8">
        <v>526629</v>
      </c>
      <c r="J8" s="8">
        <v>339</v>
      </c>
      <c r="K8" s="2">
        <f t="shared" si="5"/>
        <v>71.080047875096014</v>
      </c>
      <c r="L8" s="2">
        <v>73.295274655691003</v>
      </c>
      <c r="M8" s="2">
        <v>68.418078215251697</v>
      </c>
      <c r="N8" s="1">
        <f t="shared" si="1"/>
        <v>2.0186141231533252E-4</v>
      </c>
    </row>
    <row r="9" spans="1:14" x14ac:dyDescent="0.2">
      <c r="A9" s="8">
        <v>2019</v>
      </c>
      <c r="B9" s="6" t="s">
        <v>14</v>
      </c>
      <c r="C9" s="6" t="s">
        <v>15</v>
      </c>
      <c r="D9" s="8">
        <f t="shared" si="2"/>
        <v>1904142</v>
      </c>
      <c r="E9" s="8">
        <f t="shared" si="3"/>
        <v>1019227</v>
      </c>
      <c r="F9" s="8">
        <f t="shared" si="4"/>
        <v>884915</v>
      </c>
      <c r="G9" s="8">
        <f t="shared" si="0"/>
        <v>1301471</v>
      </c>
      <c r="H9" s="8">
        <v>706599</v>
      </c>
      <c r="I9" s="8">
        <v>591424</v>
      </c>
      <c r="J9" s="8">
        <v>3448</v>
      </c>
      <c r="K9" s="2">
        <f t="shared" si="5"/>
        <v>68.349471835608895</v>
      </c>
      <c r="L9" s="2">
        <v>69.326950718534732</v>
      </c>
      <c r="M9" s="2">
        <v>66.833989705225932</v>
      </c>
      <c r="N9" s="1">
        <f t="shared" si="1"/>
        <v>1.8107893213846447E-3</v>
      </c>
    </row>
    <row r="10" spans="1:14" x14ac:dyDescent="0.2">
      <c r="A10" s="8">
        <v>2024</v>
      </c>
      <c r="B10" s="6" t="s">
        <v>14</v>
      </c>
      <c r="C10" s="6" t="s">
        <v>15</v>
      </c>
      <c r="D10" s="8">
        <f t="shared" si="2"/>
        <v>2109607</v>
      </c>
      <c r="E10" s="8">
        <f t="shared" si="3"/>
        <v>1112797</v>
      </c>
      <c r="F10" s="8">
        <f t="shared" si="4"/>
        <v>996810</v>
      </c>
      <c r="G10" s="8">
        <f t="shared" si="0"/>
        <v>1346637</v>
      </c>
      <c r="H10" s="8">
        <v>721760</v>
      </c>
      <c r="I10" s="8">
        <v>619418</v>
      </c>
      <c r="J10" s="8">
        <v>5459</v>
      </c>
      <c r="K10" s="2">
        <f t="shared" si="5"/>
        <v>63.833548144275213</v>
      </c>
      <c r="L10" s="2">
        <v>64.86</v>
      </c>
      <c r="M10" s="2">
        <v>62.14</v>
      </c>
      <c r="N10" s="1">
        <f t="shared" si="1"/>
        <v>2.5876857632724957E-3</v>
      </c>
    </row>
    <row r="11" spans="1:14" x14ac:dyDescent="0.2">
      <c r="A11" s="8">
        <v>2014</v>
      </c>
      <c r="B11" s="6" t="s">
        <v>0</v>
      </c>
      <c r="C11" s="6" t="s">
        <v>9</v>
      </c>
      <c r="D11" s="8">
        <f t="shared" si="2"/>
        <v>1998188</v>
      </c>
      <c r="E11" s="8">
        <f t="shared" si="3"/>
        <v>1050584</v>
      </c>
      <c r="F11" s="8">
        <f t="shared" si="4"/>
        <v>947604</v>
      </c>
      <c r="G11" s="8">
        <f t="shared" si="0"/>
        <v>1114340</v>
      </c>
      <c r="H11" s="8">
        <v>596688</v>
      </c>
      <c r="I11" s="8">
        <v>516207</v>
      </c>
      <c r="J11" s="8">
        <v>1445</v>
      </c>
      <c r="K11" s="2">
        <f t="shared" si="5"/>
        <v>55.767525377992463</v>
      </c>
      <c r="L11" s="2">
        <v>56.7958392665413</v>
      </c>
      <c r="M11" s="2">
        <v>54.474970557321399</v>
      </c>
      <c r="N11" s="1">
        <f t="shared" si="1"/>
        <v>7.2315517859180417E-4</v>
      </c>
    </row>
    <row r="12" spans="1:14" x14ac:dyDescent="0.2">
      <c r="A12" s="8">
        <v>2019</v>
      </c>
      <c r="B12" s="6" t="s">
        <v>0</v>
      </c>
      <c r="C12" s="6" t="s">
        <v>9</v>
      </c>
      <c r="D12" s="8">
        <f t="shared" si="2"/>
        <v>2215145</v>
      </c>
      <c r="E12" s="8">
        <f t="shared" si="3"/>
        <v>1153540</v>
      </c>
      <c r="F12" s="8">
        <f t="shared" si="4"/>
        <v>1061605</v>
      </c>
      <c r="G12" s="8">
        <f t="shared" si="0"/>
        <v>1189624</v>
      </c>
      <c r="H12" s="8">
        <v>616311</v>
      </c>
      <c r="I12" s="8">
        <v>568793</v>
      </c>
      <c r="J12" s="8">
        <v>4520</v>
      </c>
      <c r="K12" s="2">
        <f t="shared" si="5"/>
        <v>53.70411417762719</v>
      </c>
      <c r="L12" s="2">
        <v>53.427796175251828</v>
      </c>
      <c r="M12" s="2">
        <v>53.578590907164148</v>
      </c>
      <c r="N12" s="1">
        <f t="shared" si="1"/>
        <v>2.0404984775263019E-3</v>
      </c>
    </row>
    <row r="13" spans="1:14" x14ac:dyDescent="0.2">
      <c r="A13" s="8">
        <v>2024</v>
      </c>
      <c r="B13" s="6" t="s">
        <v>0</v>
      </c>
      <c r="C13" s="6" t="s">
        <v>9</v>
      </c>
      <c r="D13" s="8">
        <f t="shared" si="2"/>
        <v>2341576</v>
      </c>
      <c r="E13" s="8">
        <f t="shared" si="3"/>
        <v>1207404</v>
      </c>
      <c r="F13" s="8">
        <f t="shared" si="4"/>
        <v>1134172</v>
      </c>
      <c r="G13" s="8">
        <f t="shared" si="0"/>
        <v>1250001</v>
      </c>
      <c r="H13" s="8">
        <v>630756</v>
      </c>
      <c r="I13" s="8">
        <v>614381</v>
      </c>
      <c r="J13" s="8">
        <v>4864</v>
      </c>
      <c r="K13" s="2">
        <f t="shared" si="5"/>
        <v>53.382892547583339</v>
      </c>
      <c r="L13" s="2">
        <v>52.240675039999999</v>
      </c>
      <c r="M13" s="2">
        <v>54.17</v>
      </c>
      <c r="N13" s="1">
        <f t="shared" si="1"/>
        <v>2.0772334530248003E-3</v>
      </c>
    </row>
    <row r="14" spans="1:14" x14ac:dyDescent="0.2">
      <c r="A14" s="8">
        <v>2014</v>
      </c>
      <c r="B14" s="6" t="s">
        <v>13</v>
      </c>
      <c r="C14" s="6" t="s">
        <v>12</v>
      </c>
      <c r="D14" s="8">
        <f t="shared" si="2"/>
        <v>1267456</v>
      </c>
      <c r="E14" s="8">
        <f t="shared" si="3"/>
        <v>610716</v>
      </c>
      <c r="F14" s="8">
        <f t="shared" si="4"/>
        <v>656740</v>
      </c>
      <c r="G14" s="8">
        <f t="shared" si="0"/>
        <v>873462</v>
      </c>
      <c r="H14" s="8">
        <v>433243</v>
      </c>
      <c r="I14" s="8">
        <v>437404</v>
      </c>
      <c r="J14" s="8">
        <v>2815</v>
      </c>
      <c r="K14" s="2">
        <f t="shared" si="5"/>
        <v>68.914581650171684</v>
      </c>
      <c r="L14" s="2">
        <v>70.940175138689696</v>
      </c>
      <c r="M14" s="2">
        <v>66.602308371653905</v>
      </c>
      <c r="N14" s="1">
        <f t="shared" si="1"/>
        <v>2.2209843970914965E-3</v>
      </c>
    </row>
    <row r="15" spans="1:14" x14ac:dyDescent="0.2">
      <c r="A15" s="8">
        <v>2019</v>
      </c>
      <c r="B15" s="6" t="s">
        <v>13</v>
      </c>
      <c r="C15" s="6" t="s">
        <v>12</v>
      </c>
      <c r="D15" s="8">
        <f t="shared" si="2"/>
        <v>1371393</v>
      </c>
      <c r="E15" s="8">
        <f t="shared" si="3"/>
        <v>664663</v>
      </c>
      <c r="F15" s="8">
        <f t="shared" si="4"/>
        <v>706730</v>
      </c>
      <c r="G15" s="8">
        <f t="shared" si="0"/>
        <v>1011253</v>
      </c>
      <c r="H15" s="8">
        <v>490244</v>
      </c>
      <c r="I15" s="8">
        <v>513476</v>
      </c>
      <c r="J15" s="8">
        <v>7533</v>
      </c>
      <c r="K15" s="2">
        <f t="shared" si="5"/>
        <v>73.739110524845913</v>
      </c>
      <c r="L15" s="2">
        <v>73.758280512079054</v>
      </c>
      <c r="M15" s="2">
        <v>72.655186563468362</v>
      </c>
      <c r="N15" s="1">
        <f t="shared" si="1"/>
        <v>5.4929549735196256E-3</v>
      </c>
    </row>
    <row r="16" spans="1:14" x14ac:dyDescent="0.2">
      <c r="A16" s="8">
        <v>2024</v>
      </c>
      <c r="B16" s="6" t="s">
        <v>13</v>
      </c>
      <c r="C16" s="6" t="s">
        <v>12</v>
      </c>
      <c r="D16" s="8">
        <f t="shared" si="2"/>
        <v>1434513</v>
      </c>
      <c r="E16" s="8">
        <f t="shared" si="3"/>
        <v>693012</v>
      </c>
      <c r="F16" s="8">
        <f t="shared" si="4"/>
        <v>741501</v>
      </c>
      <c r="G16" s="8">
        <f t="shared" si="0"/>
        <v>964322</v>
      </c>
      <c r="H16" s="8">
        <v>467090</v>
      </c>
      <c r="I16" s="8">
        <v>483755</v>
      </c>
      <c r="J16" s="8">
        <v>13477</v>
      </c>
      <c r="K16" s="2">
        <f t="shared" si="5"/>
        <v>67.222953016110694</v>
      </c>
      <c r="L16" s="2">
        <v>67.400000000000006</v>
      </c>
      <c r="M16" s="2">
        <v>65.239999999999995</v>
      </c>
      <c r="N16" s="1">
        <f t="shared" si="1"/>
        <v>9.3948259792696193E-3</v>
      </c>
    </row>
    <row r="17" spans="1:14" x14ac:dyDescent="0.2">
      <c r="A17" s="8">
        <v>2014</v>
      </c>
      <c r="B17" s="6" t="s">
        <v>10</v>
      </c>
      <c r="C17" s="6" t="s">
        <v>11</v>
      </c>
      <c r="D17" s="8">
        <f t="shared" si="2"/>
        <v>1955312</v>
      </c>
      <c r="E17" s="8">
        <f t="shared" si="3"/>
        <v>1037893</v>
      </c>
      <c r="F17" s="8">
        <f t="shared" si="4"/>
        <v>917419</v>
      </c>
      <c r="G17" s="8">
        <f t="shared" si="0"/>
        <v>1130274</v>
      </c>
      <c r="H17" s="8">
        <v>639634</v>
      </c>
      <c r="I17" s="8">
        <v>490428</v>
      </c>
      <c r="J17" s="8">
        <v>212</v>
      </c>
      <c r="K17" s="2">
        <f t="shared" si="5"/>
        <v>57.805301660297694</v>
      </c>
      <c r="L17" s="2">
        <v>61.628125442603398</v>
      </c>
      <c r="M17" s="2">
        <v>53.457362448346899</v>
      </c>
      <c r="N17" s="1">
        <f t="shared" si="1"/>
        <v>1.0842259445039973E-4</v>
      </c>
    </row>
    <row r="18" spans="1:14" x14ac:dyDescent="0.2">
      <c r="A18" s="8">
        <v>2019</v>
      </c>
      <c r="B18" s="6" t="s">
        <v>10</v>
      </c>
      <c r="C18" s="6" t="s">
        <v>11</v>
      </c>
      <c r="D18" s="8">
        <f t="shared" si="2"/>
        <v>2142678</v>
      </c>
      <c r="E18" s="8">
        <f t="shared" si="3"/>
        <v>1121754</v>
      </c>
      <c r="F18" s="8">
        <f t="shared" si="4"/>
        <v>1020924</v>
      </c>
      <c r="G18" s="8">
        <f t="shared" si="0"/>
        <v>1408603</v>
      </c>
      <c r="H18" s="8">
        <v>761678</v>
      </c>
      <c r="I18" s="8">
        <v>644492</v>
      </c>
      <c r="J18" s="8">
        <v>2433</v>
      </c>
      <c r="K18" s="2">
        <f t="shared" si="5"/>
        <v>65.740302555960355</v>
      </c>
      <c r="L18" s="2">
        <v>67.900627053703403</v>
      </c>
      <c r="M18" s="2">
        <v>63.128303380075302</v>
      </c>
      <c r="N18" s="1">
        <f t="shared" si="1"/>
        <v>1.1354949273759286E-3</v>
      </c>
    </row>
    <row r="19" spans="1:14" x14ac:dyDescent="0.2">
      <c r="A19" s="8">
        <v>2024</v>
      </c>
      <c r="B19" s="6" t="s">
        <v>10</v>
      </c>
      <c r="C19" s="6" t="s">
        <v>11</v>
      </c>
      <c r="D19" s="8">
        <f t="shared" si="2"/>
        <v>2339199</v>
      </c>
      <c r="E19" s="8">
        <f t="shared" si="3"/>
        <v>1200566</v>
      </c>
      <c r="F19" s="8">
        <f t="shared" si="4"/>
        <v>1138633</v>
      </c>
      <c r="G19" s="8">
        <f t="shared" si="0"/>
        <v>1499874</v>
      </c>
      <c r="H19" s="8">
        <v>797656</v>
      </c>
      <c r="I19" s="8">
        <v>697299</v>
      </c>
      <c r="J19" s="8">
        <v>4919</v>
      </c>
      <c r="K19" s="2">
        <f t="shared" si="5"/>
        <v>64.119127957903544</v>
      </c>
      <c r="L19" s="2">
        <v>66.44</v>
      </c>
      <c r="M19" s="2">
        <v>61.24</v>
      </c>
      <c r="N19" s="1">
        <f t="shared" si="1"/>
        <v>2.1028565761185775E-3</v>
      </c>
    </row>
    <row r="20" spans="1:14" x14ac:dyDescent="0.2">
      <c r="A20" s="8">
        <v>2014</v>
      </c>
      <c r="B20" s="6" t="s">
        <v>1</v>
      </c>
      <c r="C20" s="6" t="s">
        <v>8</v>
      </c>
      <c r="D20" s="8">
        <f t="shared" si="2"/>
        <v>1783634</v>
      </c>
      <c r="E20" s="8">
        <f t="shared" si="3"/>
        <v>972593</v>
      </c>
      <c r="F20" s="8">
        <f t="shared" si="4"/>
        <v>811041</v>
      </c>
      <c r="G20" s="8">
        <f t="shared" si="0"/>
        <v>946716</v>
      </c>
      <c r="H20" s="8">
        <v>527247</v>
      </c>
      <c r="I20" s="8">
        <v>418394</v>
      </c>
      <c r="J20" s="8">
        <v>1075</v>
      </c>
      <c r="K20" s="2">
        <f t="shared" si="5"/>
        <v>53.077929664942467</v>
      </c>
      <c r="L20" s="2">
        <v>54.210445684885698</v>
      </c>
      <c r="M20" s="2">
        <v>51.587281037580098</v>
      </c>
      <c r="N20" s="1">
        <f t="shared" si="1"/>
        <v>6.0270212386621914E-4</v>
      </c>
    </row>
    <row r="21" spans="1:14" x14ac:dyDescent="0.2">
      <c r="A21" s="8">
        <v>2019</v>
      </c>
      <c r="B21" s="6" t="s">
        <v>1</v>
      </c>
      <c r="C21" s="6" t="s">
        <v>8</v>
      </c>
      <c r="D21" s="8">
        <f t="shared" si="2"/>
        <v>1647018</v>
      </c>
      <c r="E21" s="8">
        <f t="shared" si="3"/>
        <v>890162</v>
      </c>
      <c r="F21" s="8">
        <f t="shared" si="4"/>
        <v>756856</v>
      </c>
      <c r="G21" s="8">
        <f t="shared" si="0"/>
        <v>989795</v>
      </c>
      <c r="H21" s="8">
        <v>542095</v>
      </c>
      <c r="I21" s="8">
        <v>445794</v>
      </c>
      <c r="J21" s="8">
        <v>1906</v>
      </c>
      <c r="K21" s="2">
        <f t="shared" si="5"/>
        <v>60.096185955466183</v>
      </c>
      <c r="L21" s="2">
        <v>60.898465672540503</v>
      </c>
      <c r="M21" s="2">
        <v>58.90076844208145</v>
      </c>
      <c r="N21" s="1">
        <f t="shared" si="1"/>
        <v>1.1572429688078698E-3</v>
      </c>
    </row>
    <row r="22" spans="1:14" x14ac:dyDescent="0.2">
      <c r="A22" s="8">
        <v>2024</v>
      </c>
      <c r="B22" s="6" t="s">
        <v>1</v>
      </c>
      <c r="C22" s="6" t="s">
        <v>8</v>
      </c>
      <c r="D22" s="8">
        <f t="shared" si="2"/>
        <v>1811706</v>
      </c>
      <c r="E22" s="8">
        <f t="shared" si="3"/>
        <v>969199</v>
      </c>
      <c r="F22" s="8">
        <f t="shared" si="4"/>
        <v>842507</v>
      </c>
      <c r="G22" s="8">
        <f t="shared" si="0"/>
        <v>1036434</v>
      </c>
      <c r="H22" s="8">
        <v>560391</v>
      </c>
      <c r="I22" s="8">
        <v>472815</v>
      </c>
      <c r="J22" s="8">
        <v>3228</v>
      </c>
      <c r="K22" s="2">
        <f t="shared" si="5"/>
        <v>57.20762640295942</v>
      </c>
      <c r="L22" s="2">
        <v>57.82</v>
      </c>
      <c r="M22" s="2">
        <v>56.12</v>
      </c>
      <c r="N22" s="1">
        <f t="shared" si="1"/>
        <v>1.7817460448880779E-3</v>
      </c>
    </row>
    <row r="23" spans="1:14" x14ac:dyDescent="0.2">
      <c r="A23" s="8">
        <v>2014</v>
      </c>
      <c r="B23" s="6" t="s">
        <v>16</v>
      </c>
      <c r="C23" s="6" t="s">
        <v>17</v>
      </c>
      <c r="D23" s="8">
        <f t="shared" si="2"/>
        <v>1956951</v>
      </c>
      <c r="E23" s="8">
        <f t="shared" si="3"/>
        <v>1046910</v>
      </c>
      <c r="F23" s="8">
        <f t="shared" si="4"/>
        <v>910041</v>
      </c>
      <c r="G23" s="8">
        <f t="shared" si="0"/>
        <v>1298951</v>
      </c>
      <c r="H23" s="8">
        <v>714851</v>
      </c>
      <c r="I23" s="8">
        <v>578288</v>
      </c>
      <c r="J23" s="8">
        <v>5812</v>
      </c>
      <c r="K23" s="2">
        <f t="shared" si="5"/>
        <v>66.376265936142502</v>
      </c>
      <c r="L23" s="2">
        <v>68.281991766245397</v>
      </c>
      <c r="M23" s="2">
        <v>63.545268839535801</v>
      </c>
      <c r="N23" s="1">
        <f t="shared" si="1"/>
        <v>2.9699261759747689E-3</v>
      </c>
    </row>
    <row r="24" spans="1:14" x14ac:dyDescent="0.2">
      <c r="A24" s="8">
        <v>2019</v>
      </c>
      <c r="B24" s="6" t="s">
        <v>16</v>
      </c>
      <c r="C24" s="6" t="s">
        <v>17</v>
      </c>
      <c r="D24" s="8">
        <f t="shared" si="2"/>
        <v>2126996</v>
      </c>
      <c r="E24" s="8">
        <f t="shared" si="3"/>
        <v>1119477</v>
      </c>
      <c r="F24" s="8">
        <f t="shared" si="4"/>
        <v>1007519</v>
      </c>
      <c r="G24" s="8">
        <f t="shared" si="0"/>
        <v>1456494</v>
      </c>
      <c r="H24" s="8">
        <v>784372</v>
      </c>
      <c r="I24" s="8">
        <v>663540</v>
      </c>
      <c r="J24" s="8">
        <v>8582</v>
      </c>
      <c r="K24" s="2">
        <f t="shared" si="5"/>
        <v>68.47657447404697</v>
      </c>
      <c r="L24" s="2">
        <v>70.065932573871549</v>
      </c>
      <c r="M24" s="2">
        <v>65.858807625464138</v>
      </c>
      <c r="N24" s="1">
        <f t="shared" si="1"/>
        <v>4.0347983729165449E-3</v>
      </c>
    </row>
    <row r="25" spans="1:14" x14ac:dyDescent="0.2">
      <c r="A25" s="8">
        <v>2024</v>
      </c>
      <c r="B25" s="6" t="s">
        <v>16</v>
      </c>
      <c r="C25" s="6" t="s">
        <v>17</v>
      </c>
      <c r="D25" s="8">
        <f t="shared" si="2"/>
        <v>2288676</v>
      </c>
      <c r="E25" s="8">
        <f t="shared" si="3"/>
        <v>1192135</v>
      </c>
      <c r="F25" s="8">
        <f t="shared" si="4"/>
        <v>1096541</v>
      </c>
      <c r="G25" s="8">
        <f t="shared" si="0"/>
        <v>1464964</v>
      </c>
      <c r="H25" s="8">
        <v>782994</v>
      </c>
      <c r="I25" s="8">
        <v>666587</v>
      </c>
      <c r="J25" s="8">
        <v>15383</v>
      </c>
      <c r="K25" s="2">
        <f t="shared" si="5"/>
        <v>64.009235033705082</v>
      </c>
      <c r="L25" s="2">
        <v>65.680000000000007</v>
      </c>
      <c r="M25" s="2">
        <v>60.79</v>
      </c>
      <c r="N25" s="1">
        <f t="shared" si="1"/>
        <v>6.7213533064531634E-3</v>
      </c>
    </row>
    <row r="26" spans="1:14" x14ac:dyDescent="0.2">
      <c r="A26" s="8">
        <v>2014</v>
      </c>
      <c r="B26" s="6" t="s">
        <v>2</v>
      </c>
      <c r="C26" s="6" t="s">
        <v>7</v>
      </c>
      <c r="D26" s="8">
        <f t="shared" si="2"/>
        <v>1795091</v>
      </c>
      <c r="E26" s="8">
        <f t="shared" si="3"/>
        <v>900950</v>
      </c>
      <c r="F26" s="8">
        <f t="shared" si="4"/>
        <v>894141</v>
      </c>
      <c r="G26" s="8">
        <f t="shared" si="0"/>
        <v>1085391</v>
      </c>
      <c r="H26" s="8">
        <v>556403</v>
      </c>
      <c r="I26" s="8">
        <v>527433</v>
      </c>
      <c r="J26" s="8">
        <v>1555</v>
      </c>
      <c r="K26" s="2">
        <f t="shared" si="5"/>
        <v>60.46439985493771</v>
      </c>
      <c r="L26" s="2">
        <v>61.757367223486298</v>
      </c>
      <c r="M26" s="2">
        <v>58.987676440293001</v>
      </c>
      <c r="N26" s="1">
        <f t="shared" si="1"/>
        <v>8.6625134881741371E-4</v>
      </c>
    </row>
    <row r="27" spans="1:14" x14ac:dyDescent="0.2">
      <c r="A27" s="8">
        <v>2019</v>
      </c>
      <c r="B27" s="6" t="s">
        <v>2</v>
      </c>
      <c r="C27" s="6" t="s">
        <v>7</v>
      </c>
      <c r="D27" s="8">
        <f t="shared" si="2"/>
        <v>1973144</v>
      </c>
      <c r="E27" s="8">
        <f t="shared" si="3"/>
        <v>979658</v>
      </c>
      <c r="F27" s="8">
        <f t="shared" si="4"/>
        <v>993486</v>
      </c>
      <c r="G27" s="8">
        <f t="shared" si="0"/>
        <v>1126329</v>
      </c>
      <c r="H27" s="8">
        <v>567542</v>
      </c>
      <c r="I27" s="8">
        <v>555856</v>
      </c>
      <c r="J27" s="8">
        <v>2931</v>
      </c>
      <c r="K27" s="2">
        <f t="shared" si="5"/>
        <v>57.082959986701432</v>
      </c>
      <c r="L27" s="2">
        <v>57.932666297830473</v>
      </c>
      <c r="M27" s="2">
        <v>55.95005868225622</v>
      </c>
      <c r="N27" s="1">
        <f t="shared" si="1"/>
        <v>1.4854465766310011E-3</v>
      </c>
    </row>
    <row r="28" spans="1:14" x14ac:dyDescent="0.2">
      <c r="A28" s="8">
        <v>2024</v>
      </c>
      <c r="B28" s="6" t="s">
        <v>2</v>
      </c>
      <c r="C28" s="6" t="s">
        <v>7</v>
      </c>
      <c r="D28" s="8">
        <f t="shared" si="2"/>
        <v>2022759</v>
      </c>
      <c r="E28" s="8">
        <f t="shared" si="3"/>
        <v>1000968</v>
      </c>
      <c r="F28" s="8">
        <f t="shared" si="4"/>
        <v>1021791</v>
      </c>
      <c r="G28" s="8">
        <f t="shared" si="0"/>
        <v>1099910</v>
      </c>
      <c r="H28" s="8">
        <v>552034</v>
      </c>
      <c r="I28" s="8">
        <v>543797</v>
      </c>
      <c r="J28" s="8">
        <v>4079</v>
      </c>
      <c r="K28" s="2">
        <f t="shared" si="5"/>
        <v>54.376720113468778</v>
      </c>
      <c r="L28" s="2">
        <v>55.15</v>
      </c>
      <c r="M28" s="2">
        <v>53.22</v>
      </c>
      <c r="N28" s="1">
        <f t="shared" si="1"/>
        <v>2.0165526392417485E-3</v>
      </c>
    </row>
    <row r="29" spans="1:14" x14ac:dyDescent="0.2">
      <c r="A29" s="8">
        <v>2014</v>
      </c>
      <c r="B29" s="6" t="s">
        <v>3</v>
      </c>
      <c r="C29" s="6" t="s">
        <v>4</v>
      </c>
      <c r="D29" s="8">
        <f t="shared" si="2"/>
        <v>1948186</v>
      </c>
      <c r="E29" s="8">
        <f t="shared" si="3"/>
        <v>1051077</v>
      </c>
      <c r="F29" s="8">
        <f t="shared" si="4"/>
        <v>897109</v>
      </c>
      <c r="G29" s="8">
        <f t="shared" si="0"/>
        <v>1034698</v>
      </c>
      <c r="H29" s="8">
        <v>580513</v>
      </c>
      <c r="I29" s="8">
        <v>450547</v>
      </c>
      <c r="J29" s="8">
        <v>3638</v>
      </c>
      <c r="K29" s="2">
        <f t="shared" si="5"/>
        <v>53.110842599217946</v>
      </c>
      <c r="L29" s="2">
        <v>55.230301871318702</v>
      </c>
      <c r="M29" s="2">
        <v>50.222102330931897</v>
      </c>
      <c r="N29" s="1">
        <f t="shared" si="1"/>
        <v>1.86737816615046E-3</v>
      </c>
    </row>
    <row r="30" spans="1:14" x14ac:dyDescent="0.2">
      <c r="A30" s="8">
        <v>2019</v>
      </c>
      <c r="B30" s="6" t="s">
        <v>3</v>
      </c>
      <c r="C30" s="6" t="s">
        <v>4</v>
      </c>
      <c r="D30" s="8">
        <f t="shared" si="2"/>
        <v>2040270</v>
      </c>
      <c r="E30" s="8">
        <f t="shared" si="3"/>
        <v>1096455</v>
      </c>
      <c r="F30" s="8">
        <f t="shared" si="4"/>
        <v>943815</v>
      </c>
      <c r="G30" s="8">
        <f t="shared" si="0"/>
        <v>1117627</v>
      </c>
      <c r="H30" s="8">
        <v>609363</v>
      </c>
      <c r="I30" s="8">
        <v>497734</v>
      </c>
      <c r="J30" s="8">
        <v>10530</v>
      </c>
      <c r="K30" s="2">
        <f t="shared" si="5"/>
        <v>54.778387174246546</v>
      </c>
      <c r="L30" s="2">
        <v>55.575741822509819</v>
      </c>
      <c r="M30" s="2">
        <v>52.736394314563761</v>
      </c>
      <c r="N30" s="1">
        <f t="shared" si="1"/>
        <v>5.1610816215500888E-3</v>
      </c>
    </row>
    <row r="31" spans="1:14" x14ac:dyDescent="0.2">
      <c r="A31" s="8">
        <v>2024</v>
      </c>
      <c r="B31" s="6" t="s">
        <v>3</v>
      </c>
      <c r="C31" s="6" t="s">
        <v>4</v>
      </c>
      <c r="D31" s="8">
        <f t="shared" si="2"/>
        <v>2173838</v>
      </c>
      <c r="E31" s="8">
        <f t="shared" si="3"/>
        <v>1149656</v>
      </c>
      <c r="F31" s="8">
        <f t="shared" si="4"/>
        <v>1024182</v>
      </c>
      <c r="G31" s="8">
        <f t="shared" si="0"/>
        <v>1140200</v>
      </c>
      <c r="H31" s="8">
        <v>621389</v>
      </c>
      <c r="I31" s="8">
        <v>514344</v>
      </c>
      <c r="J31" s="8">
        <v>4467</v>
      </c>
      <c r="K31" s="2">
        <f t="shared" si="5"/>
        <v>52.451010608886214</v>
      </c>
      <c r="L31" s="2">
        <v>54.05</v>
      </c>
      <c r="M31" s="2">
        <v>50.22</v>
      </c>
      <c r="N31" s="1">
        <f t="shared" si="1"/>
        <v>2.0548909348350707E-3</v>
      </c>
    </row>
  </sheetData>
  <autoFilter ref="A1:N31" xr:uid="{FE35F14A-00C3-CF47-8702-D7A53B55A60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D5BB2-85AE-9C4D-A1CC-FA9ADD13EB15}">
  <dimension ref="A1:D13"/>
  <sheetViews>
    <sheetView workbookViewId="0">
      <selection activeCell="C22" sqref="C22"/>
    </sheetView>
  </sheetViews>
  <sheetFormatPr baseColWidth="10" defaultRowHeight="16" x14ac:dyDescent="0.2"/>
  <cols>
    <col min="1" max="2" width="22.5" bestFit="1" customWidth="1"/>
    <col min="3" max="3" width="25.5" bestFit="1" customWidth="1"/>
  </cols>
  <sheetData>
    <row r="1" spans="1:4" x14ac:dyDescent="0.2">
      <c r="A1" s="13" t="s">
        <v>19</v>
      </c>
      <c r="B1" s="13" t="s">
        <v>20</v>
      </c>
      <c r="C1" s="13" t="s">
        <v>21</v>
      </c>
      <c r="D1" s="10"/>
    </row>
    <row r="2" spans="1:4" x14ac:dyDescent="0.2">
      <c r="A2" s="14" t="s">
        <v>22</v>
      </c>
      <c r="B2" s="14" t="s">
        <v>23</v>
      </c>
      <c r="C2" s="12" t="s">
        <v>47</v>
      </c>
      <c r="D2" s="11"/>
    </row>
    <row r="3" spans="1:4" x14ac:dyDescent="0.2">
      <c r="A3" s="14" t="s">
        <v>24</v>
      </c>
      <c r="B3" s="14" t="s">
        <v>25</v>
      </c>
      <c r="C3" s="12" t="s">
        <v>48</v>
      </c>
      <c r="D3" s="11"/>
    </row>
    <row r="4" spans="1:4" x14ac:dyDescent="0.2">
      <c r="A4" s="14" t="s">
        <v>26</v>
      </c>
      <c r="B4" s="14" t="s">
        <v>25</v>
      </c>
      <c r="C4" s="12" t="s">
        <v>49</v>
      </c>
      <c r="D4" s="11"/>
    </row>
    <row r="5" spans="1:4" x14ac:dyDescent="0.2">
      <c r="A5" s="14" t="s">
        <v>27</v>
      </c>
      <c r="B5" s="14" t="s">
        <v>28</v>
      </c>
      <c r="C5" s="12" t="s">
        <v>50</v>
      </c>
      <c r="D5" s="11"/>
    </row>
    <row r="6" spans="1:4" x14ac:dyDescent="0.2">
      <c r="A6" s="14" t="s">
        <v>31</v>
      </c>
      <c r="B6" s="14" t="s">
        <v>28</v>
      </c>
      <c r="C6" s="12" t="s">
        <v>51</v>
      </c>
      <c r="D6" s="11"/>
    </row>
    <row r="7" spans="1:4" x14ac:dyDescent="0.2">
      <c r="A7" s="14" t="s">
        <v>32</v>
      </c>
      <c r="B7" s="14" t="s">
        <v>28</v>
      </c>
      <c r="C7" s="12" t="s">
        <v>52</v>
      </c>
      <c r="D7" s="11"/>
    </row>
    <row r="8" spans="1:4" x14ac:dyDescent="0.2">
      <c r="A8" s="14" t="s">
        <v>33</v>
      </c>
      <c r="B8" s="14" t="s">
        <v>28</v>
      </c>
      <c r="C8" s="12" t="s">
        <v>53</v>
      </c>
      <c r="D8" s="11"/>
    </row>
    <row r="9" spans="1:4" x14ac:dyDescent="0.2">
      <c r="A9" s="14" t="s">
        <v>29</v>
      </c>
      <c r="B9" s="14" t="s">
        <v>28</v>
      </c>
      <c r="C9" s="12" t="s">
        <v>54</v>
      </c>
      <c r="D9" s="11"/>
    </row>
    <row r="10" spans="1:4" x14ac:dyDescent="0.2">
      <c r="A10" s="14" t="s">
        <v>59</v>
      </c>
      <c r="B10" s="14" t="s">
        <v>30</v>
      </c>
      <c r="C10" s="12" t="s">
        <v>55</v>
      </c>
      <c r="D10" s="11"/>
    </row>
    <row r="11" spans="1:4" x14ac:dyDescent="0.2">
      <c r="A11" s="14" t="s">
        <v>34</v>
      </c>
      <c r="B11" s="14" t="s">
        <v>30</v>
      </c>
      <c r="C11" s="12" t="s">
        <v>56</v>
      </c>
      <c r="D11" s="11"/>
    </row>
    <row r="12" spans="1:4" x14ac:dyDescent="0.2">
      <c r="A12" s="14" t="s">
        <v>35</v>
      </c>
      <c r="B12" s="14" t="s">
        <v>30</v>
      </c>
      <c r="C12" s="12" t="s">
        <v>57</v>
      </c>
      <c r="D12" s="11"/>
    </row>
    <row r="13" spans="1:4" x14ac:dyDescent="0.2">
      <c r="A13" s="14" t="s">
        <v>36</v>
      </c>
      <c r="B13" s="14" t="s">
        <v>30</v>
      </c>
      <c r="C13" s="12" t="s">
        <v>58</v>
      </c>
      <c r="D13" s="1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Variable 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abhinav</dc:creator>
  <cp:lastModifiedBy>abhinav abhinav</cp:lastModifiedBy>
  <dcterms:created xsi:type="dcterms:W3CDTF">2025-11-29T06:14:27Z</dcterms:created>
  <dcterms:modified xsi:type="dcterms:W3CDTF">2025-12-02T07:08:33Z</dcterms:modified>
</cp:coreProperties>
</file>